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93dbe7527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0c779f663d94ca3"/>
    <x:sheet xmlns:r="http://schemas.openxmlformats.org/officeDocument/2006/relationships" name="Monthly data" sheetId="2" r:id="Re5324ea4d89d426b"/>
    <x:sheet xmlns:r="http://schemas.openxmlformats.org/officeDocument/2006/relationships" name="Supporting data" sheetId="3" r:id="Rb0517dae461e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i/>
      <x:sz val="11"/>
      <x:color rgb="FF52677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11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0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2815631f748fe" /><Relationship Type="http://schemas.openxmlformats.org/officeDocument/2006/relationships/theme" Target="/xl/theme/theme1.xml" Id="Re72e50b0f0ca4d81" /><Relationship Type="http://schemas.openxmlformats.org/officeDocument/2006/relationships/sharedStrings" Target="/xl/sharedStrings.xml" Id="Re52b95554a314c7c" /><Relationship Type="http://schemas.openxmlformats.org/officeDocument/2006/relationships/worksheet" Target="/xl/worksheets/sheet1.xml" Id="R70c779f663d94ca3" /><Relationship Type="http://schemas.openxmlformats.org/officeDocument/2006/relationships/worksheet" Target="/xl/worksheets/sheet2.xml" Id="Re5324ea4d89d426b" /><Relationship Type="http://schemas.openxmlformats.org/officeDocument/2006/relationships/worksheet" Target="/xl/worksheets/sheet3.xml" Id="Rb0517dae461e4f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5f77b0f3ebc431d" /><Relationship Type="http://schemas.openxmlformats.org/officeDocument/2006/relationships/chart" Target="/xl/drawings/charts/chart1.xml" Id="Ra34ca1d5a28f42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Bookings trend</a:t>
            </a:r>
          </a:p>
        </c:rich>
      </c:tx>
    </c:title>
    <c:plotArea>
      <c:lineChart>
        <c:grouping val="standard"/>
        <c:ser>
          <c:idx val="0"/>
          <c:order val="0"/>
          <c:tx>
            <c:v>Bookings</c:v>
          </c:tx>
          <c:marker>
            <c:symbol val="none"/>
          </c:marker>
          <c:cat>
            <c:strRef>
              <c:f>'Monthly data'!$A$2:$A$7</c:f>
              <c:strCache>
                <c:ptCount val="0"/>
              </c:strCache>
            </c:strRef>
          </c:cat>
          <c:val>
            <c:numRef>
              <c:f>'Monthly data'!$B$2:$B$7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4ca1d5a28f423c"/>
        </a:graphicData>
      </a:graphic>
    </xdr:graphicFrame>
    <xdr:clientData/>
  </xdr:twoCellAnchor>
  <xdr:oneCellAnchor>
    <xdr:from>
      <xdr:col>0</xdr:col>
      <xdr:colOff>0</xdr:colOff>
      <xdr:row>20</xdr:row>
      <xdr:rowOff>0</xdr:rowOff>
    </xdr:from>
    <xdr:ext cx="2286000" cy="1143000"/>
    <xdr:pic>
      <xdr:nvPicPr>
        <xdr:cNvPr id="2" name="dd2688da-9d0e-4e43-8cf0-bf93c2bb5f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77b0f3ebc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bf670697e347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0" customHeight="1">
      <x:c r="A1" s="35" t="str">
        <x:v>D431 qualification workbook — original, deterministic data</x:v>
      </x:c>
      <x:c r="B1" s="35" t="str">
        <x:v>D431 qualification workbook — original, deterministic data</x:v>
      </x:c>
      <x:c r="C1" s="35" t="str">
        <x:v>D431 qualification workbook — original, deterministic data</x:v>
      </x:c>
      <x:c r="D1" s="35" t="str">
        <x:v>D431 qualification workbook — original, deterministic data</x:v>
      </x:c>
      <x:c r="E1" s="35" t="str">
        <x:v>D431 qualification workbook — original, deterministic data</x:v>
      </x:c>
      <x:c r="F1" s="35" t="str">
        <x:v>D431 qualification workbook — original, deterministic data</x:v>
      </x:c>
      <x:c r="G1" s="35" t="str">
        <x:v>D431 qualification workbook — original, deterministic data</x:v>
      </x:c>
      <x:c r="H1" s="35" t="str">
        <x:v>D431 qualification workbook — original, deterministic data</x:v>
      </x:c>
      <x:c r="I1" s="36"/>
      <x:c r="J1" s="36"/>
      <x:c r="K1" s="36"/>
    </x:row>
    <x:row r="2" ht="20" customHeight="1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</x:row>
    <x:row r="3" ht="20" customHeight="1">
      <x:c r="A3" s="37" t="str">
        <x:v>Metric</x:v>
      </x:c>
      <x:c r="B3" s="37" t="str">
        <x:v>Value</x:v>
      </x:c>
      <x:c r="C3" s="36"/>
      <x:c r="D3" s="36"/>
      <x:c r="E3" s="36"/>
      <x:c r="F3" s="36"/>
      <x:c r="G3" s="36"/>
      <x:c r="H3" s="36"/>
      <x:c r="I3" s="36"/>
      <x:c r="J3" s="36"/>
      <x:c r="K3" s="36"/>
    </x:row>
    <x:row r="4" ht="20" customHeight="1">
      <x:c r="A4" s="38" t="str">
        <x:v>Total bookings</x:v>
      </x:c>
      <x:c r="B4" s="39" t="n">
        <x:f>SUM('Monthly data'!B2:B7)</x:f>
        <x:v>528000</x:v>
      </x:c>
      <x:c r="C4" s="36"/>
      <x:c r="D4" s="36"/>
      <x:c r="E4" s="36"/>
      <x:c r="F4" s="36"/>
      <x:c r="G4" s="36"/>
      <x:c r="H4" s="36"/>
      <x:c r="I4" s="36"/>
      <x:c r="J4" s="36"/>
      <x:c r="K4" s="36"/>
    </x:row>
    <x:row r="5" ht="20" customHeight="1">
      <x:c r="A5" s="38" t="str">
        <x:v>Average renewal</x:v>
      </x:c>
      <x:c r="B5" s="40" t="n">
        <x:f>AVERAGE('Monthly data'!C2:C7)</x:f>
        <x:v>0.8633333333333334</x:v>
      </x:c>
      <x:c r="C5" s="36"/>
      <x:c r="D5" s="36"/>
      <x:c r="E5" s="36"/>
      <x:c r="F5" s="36"/>
      <x:c r="G5" s="36"/>
      <x:c r="H5" s="36"/>
      <x:c r="I5" s="36"/>
      <x:c r="J5" s="36"/>
      <x:c r="K5" s="36"/>
    </x:row>
    <x:row r="6" ht="20" customHeight="1">
      <x:c r="A6" s="38" t="str">
        <x:v>Latest variance</x:v>
      </x:c>
      <x:c r="B6" s="39" t="n">
        <x:f>'Monthly data'!E7</x:f>
        <x:v>8000</x:v>
      </x:c>
      <x:c r="C6" s="36"/>
      <x:c r="D6" s="36"/>
      <x:c r="E6" s="36"/>
      <x:c r="F6" s="36"/>
      <x:c r="G6" s="36"/>
      <x:c r="H6" s="36"/>
      <x:c r="I6" s="36"/>
      <x:c r="J6" s="36"/>
      <x:c r="K6" s="36"/>
    </x:row>
    <x:row r="7" ht="20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</x:row>
    <x:row r="8" ht="20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</x:row>
    <x:row r="9" ht="20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</x:row>
    <x:row r="10" ht="20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</x:row>
    <x:row r="11" ht="20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</x:row>
    <x:row r="12" ht="20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</x:row>
    <x:row r="13" ht="20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</x:row>
    <x:row r="14" ht="20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</x:row>
    <x:row r="15" ht="20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</x:row>
    <x:row r="16" ht="20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</x:row>
    <x:row r="17" ht="20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</x:row>
    <x:row r="18" ht="20" customHeight="1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 ht="20" customHeight="1">
      <x:c r="A19" s="41" t="str">
        <x:v>Original embedded image / drawing anchor below</x:v>
      </x:c>
      <x:c r="B19" s="41" t="str">
        <x:v>Original embedded image / drawing anchor below</x:v>
      </x:c>
      <x:c r="C19" s="41" t="str">
        <x:v>Original embedded image / drawing anchor below</x:v>
      </x:c>
      <x:c r="D19" s="36"/>
      <x:c r="E19" s="36"/>
      <x:c r="F19" s="36"/>
      <x:c r="G19" s="36"/>
      <x:c r="H19" s="36"/>
      <x:c r="I19" s="36"/>
      <x:c r="J19" s="36"/>
      <x:c r="K19" s="36"/>
    </x:row>
    <x:row r="20" ht="20" customHeight="1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 ht="20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 ht="20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 ht="2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 ht="2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  <x:row r="25" ht="2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</x:row>
    <x:row r="26" ht="2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</x:row>
    <x:row r="27" ht="2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 ht="2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</x:row>
  </x:sheetData>
  <x:mergeCells>
    <x:mergeCell ref="A1:H1"/>
    <x:mergeCell ref="A19:C19"/>
  </x:mergeCells>
  <x:pageMargins left="0.7" right="0.7" top="0.75" bottom="0.75" header="0.3" footer="0.3"/>
  <x:drawing xmlns:r="http://schemas.openxmlformats.org/officeDocument/2006/relationships" r:id="Radbf670697e347e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7.5" hidden="0" customWidth="1"/>
    <x:col min="3" max="3" width="10.5" hidden="0" customWidth="1"/>
    <x:col min="4" max="4" width="6.630000114440918" hidden="0" customWidth="1"/>
    <x:col min="5" max="5" width="7.130000114440918" hidden="0" customWidth="1"/>
  </x:cols>
  <x:sheetData>
    <x:row r="1">
      <x:c r="A1" s="16" t="str">
        <x:v>Month</x:v>
      </x:c>
      <x:c r="B1" s="17" t="str">
        <x:v>Bookings</x:v>
      </x:c>
      <x:c r="C1" s="17" t="str">
        <x:v>Renewal rate</x:v>
      </x:c>
      <x:c r="D1" s="17" t="str">
        <x:v>Target</x:v>
      </x:c>
      <x:c r="E1" s="18" t="str">
        <x:v>Variance</x:v>
      </x:c>
    </x:row>
    <x:row r="2">
      <x:c r="A2" s="19" t="str">
        <x:v>Jan</x:v>
      </x:c>
      <x:c r="B2" s="20" t="n">
        <x:v>72000</x:v>
      </x:c>
      <x:c r="C2" s="21" t="n">
        <x:v>0.81</x:v>
      </x:c>
      <x:c r="D2" s="20" t="n">
        <x:v>70000</x:v>
      </x:c>
      <x:c r="E2" s="22" t="n">
        <x:f>B2-D2</x:f>
        <x:v>2000</x:v>
      </x:c>
    </x:row>
    <x:row r="3">
      <x:c r="A3" s="19" t="str">
        <x:v>Feb</x:v>
      </x:c>
      <x:c r="B3" s="20" t="n">
        <x:v>78000</x:v>
      </x:c>
      <x:c r="C3" s="21" t="n">
        <x:v>0.83</x:v>
      </x:c>
      <x:c r="D3" s="20" t="n">
        <x:v>73000</x:v>
      </x:c>
      <x:c r="E3" s="22" t="n">
        <x:f>B3-D3</x:f>
        <x:v>5000</x:v>
      </x:c>
    </x:row>
    <x:row r="4">
      <x:c r="A4" s="19" t="str">
        <x:v>Mar</x:v>
      </x:c>
      <x:c r="B4" s="20" t="n">
        <x:v>86000</x:v>
      </x:c>
      <x:c r="C4" s="21" t="n">
        <x:v>0.85</x:v>
      </x:c>
      <x:c r="D4" s="20" t="n">
        <x:v>76000</x:v>
      </x:c>
      <x:c r="E4" s="22" t="n">
        <x:f>B4-D4</x:f>
        <x:v>10000</x:v>
      </x:c>
    </x:row>
    <x:row r="5">
      <x:c r="A5" s="19" t="str">
        <x:v>Apr</x:v>
      </x:c>
      <x:c r="B5" s="20" t="n">
        <x:v>91000</x:v>
      </x:c>
      <x:c r="C5" s="21" t="n">
        <x:v>0.88</x:v>
      </x:c>
      <x:c r="D5" s="20" t="n">
        <x:v>82000</x:v>
      </x:c>
      <x:c r="E5" s="22" t="n">
        <x:f>B5-D5</x:f>
        <x:v>9000</x:v>
      </x:c>
    </x:row>
    <x:row r="6">
      <x:c r="A6" s="19" t="str">
        <x:v>May</x:v>
      </x:c>
      <x:c r="B6" s="20" t="n">
        <x:v>97000</x:v>
      </x:c>
      <x:c r="C6" s="21" t="n">
        <x:v>0.9</x:v>
      </x:c>
      <x:c r="D6" s="20" t="n">
        <x:v>90000</x:v>
      </x:c>
      <x:c r="E6" s="22" t="n">
        <x:f>B6-D6</x:f>
        <x:v>7000</x:v>
      </x:c>
    </x:row>
    <x:row r="7">
      <x:c r="A7" s="23" t="str">
        <x:v>Jun</x:v>
      </x:c>
      <x:c r="B7" s="24" t="n">
        <x:v>104000</x:v>
      </x:c>
      <x:c r="C7" s="25" t="n">
        <x:v>0.91</x:v>
      </x:c>
      <x:c r="D7" s="24" t="n">
        <x:v>96000</x:v>
      </x:c>
      <x:c r="E7" s="26" t="n">
        <x:f>B7-D7</x:f>
        <x:v>8000</x:v>
      </x:c>
    </x:row>
  </x:sheetData>
  <x:conditionalFormatting sqref="E2:E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30000114440918" hidden="0" customWidth="1"/>
    <x:col min="2" max="2" width="6" hidden="0" customWidth="1"/>
    <x:col min="3" max="3" width="17.8799991607666" hidden="0" customWidth="1"/>
  </x:cols>
  <x:sheetData>
    <x:row r="1">
      <x:c r="A1" s="43" t="str">
        <x:v>Category</x:v>
      </x:c>
      <x:c r="B1" s="43" t="str">
        <x:v>Weight</x:v>
      </x:c>
      <x:c r="C1" s="43" t="str">
        <x:v>Notes</x:v>
      </x:c>
    </x:row>
    <x:row r="2">
      <x:c r="A2" s="36" t="str">
        <x:v>Visual</x:v>
      </x:c>
      <x:c r="B2" s="44" t="n">
        <x:v>0.4</x:v>
      </x:c>
      <x:c r="C2" s="36" t="str">
        <x:v>Human comparison</x:v>
      </x:c>
    </x:row>
    <x:row r="3">
      <x:c r="A3" s="36" t="str">
        <x:v>Interaction</x:v>
      </x:c>
      <x:c r="B3" s="44" t="n">
        <x:v>0.35</x:v>
      </x:c>
      <x:c r="C3" s="36" t="str">
        <x:v>Keyboard and selection</x:v>
      </x:c>
    </x:row>
    <x:row r="4">
      <x:c r="A4" s="36" t="str">
        <x:v>Packaging</x:v>
      </x:c>
      <x:c r="B4" s="44" t="n">
        <x:v>0.25</x:v>
      </x:c>
      <x:c r="C4" s="36" t="str">
        <x:v>WASM closure</x:v>
      </x:c>
    </x:row>
    <x:row r="5">
      <x:c r="A5" s="36" t="str">
        <x:v>Total</x:v>
      </x:c>
      <x:c r="B5" s="44" t="n">
        <x:f>SUM(B2:B4)</x:f>
        <x:v>1</x:v>
      </x:c>
      <x:c r="C5" s="36" t="str">
        <x:v>Formula driven</x:v>
      </x:c>
    </x:row>
  </x:sheetData>
  <x:pageMargins left="0.7" right="0.7" top="0.75" bottom="0.75" header="0.3" footer="0.3"/>
</x:worksheet>
</file>